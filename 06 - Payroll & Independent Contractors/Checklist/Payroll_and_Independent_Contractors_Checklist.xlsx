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61C4901C-D0CE-9B49-BCC5-F0705BCD56D1}" xr6:coauthVersionLast="47" xr6:coauthVersionMax="47" xr10:uidLastSave="{00000000-0000-0000-0000-000000000000}"/>
  <bookViews>
    <workbookView xWindow="540" yWindow="2940" windowWidth="27880" windowHeight="13740" xr2:uid="{C7E0E0A4-9F2B-444C-A493-3D4871707E7E}"/>
  </bookViews>
  <sheets>
    <sheet name="Dashboard" sheetId="4" r:id="rId1"/>
    <sheet name="Checklist" sheetId="1" r:id="rId2"/>
    <sheet name="MoM matrix" sheetId="2" r:id="rId3"/>
    <sheet name="Assumptions - PAY_MTH" sheetId="3" r:id="rId4"/>
    <sheet name="Assumptions - EMPLOYEE" sheetId="5" r:id="rId5"/>
    <sheet name="Assumptions - STAT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" l="1"/>
  <c r="D23" i="4"/>
  <c r="D22" i="4"/>
  <c r="D33" i="4"/>
  <c r="D32" i="4"/>
  <c r="D31" i="4"/>
  <c r="D30" i="4"/>
  <c r="D29" i="4"/>
  <c r="D28" i="4"/>
  <c r="D21" i="4" l="1"/>
  <c r="D27" i="4"/>
  <c r="D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 Slabbert Buchanan</author>
  </authors>
  <commentList>
    <comment ref="E20" authorId="0" shapeId="0" xr:uid="{98D1E5B1-4D35-AA42-80F1-C07FDE8F0B34}">
      <text>
        <r>
          <rPr>
            <b/>
            <sz val="10"/>
            <color rgb="FF000000"/>
            <rFont val="Tahoma"/>
            <family val="2"/>
          </rPr>
          <t xml:space="preserve">Armand Slabbert Buchanan: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1) R</t>
        </r>
        <r>
          <rPr>
            <sz val="10"/>
            <color rgb="FF000000"/>
            <rFont val="Calibri"/>
            <family val="2"/>
            <scheme val="minor"/>
          </rPr>
          <t xml:space="preserve">esignation Letter
</t>
        </r>
        <r>
          <rPr>
            <sz val="10"/>
            <color rgb="FF000000"/>
            <rFont val="Tahoma"/>
            <family val="2"/>
          </rPr>
          <t xml:space="preserve">2) </t>
        </r>
        <r>
          <rPr>
            <sz val="10"/>
            <color rgb="FF000000"/>
            <rFont val="Calibri"/>
            <family val="2"/>
            <scheme val="minor"/>
          </rPr>
          <t xml:space="preserve">UIF Forms (South Africa) - UI-19 &amp; UI-2.7
</t>
        </r>
        <r>
          <rPr>
            <sz val="10"/>
            <color rgb="FF000000"/>
            <rFont val="Tahoma"/>
            <family val="2"/>
          </rPr>
          <t xml:space="preserve">3) </t>
        </r>
        <r>
          <rPr>
            <sz val="10"/>
            <color rgb="FF000000"/>
            <rFont val="Calibri"/>
            <family val="2"/>
            <scheme val="minor"/>
          </rPr>
          <t>Tax Certificates</t>
        </r>
      </text>
    </comment>
    <comment ref="F20" authorId="0" shapeId="0" xr:uid="{63748DCC-6A65-0C45-9657-5D9FEBAB83AA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</t>
        </r>
        <r>
          <rPr>
            <sz val="10"/>
            <color rgb="FF000000"/>
            <rFont val="Calibri"/>
            <family val="2"/>
          </rPr>
          <t xml:space="preserve">Tax Certificates
</t>
        </r>
        <r>
          <rPr>
            <sz val="10"/>
            <color rgb="FF000000"/>
            <rFont val="Tahoma"/>
            <family val="2"/>
          </rPr>
          <t xml:space="preserve">2) </t>
        </r>
        <r>
          <rPr>
            <sz val="10"/>
            <color rgb="FF000000"/>
            <rFont val="Calibri"/>
            <family val="2"/>
          </rPr>
          <t xml:space="preserve">Leave Pay-out
</t>
        </r>
        <r>
          <rPr>
            <sz val="10"/>
            <color rgb="FF000000"/>
            <rFont val="Tahoma"/>
            <family val="2"/>
          </rPr>
          <t xml:space="preserve">3) </t>
        </r>
        <r>
          <rPr>
            <sz val="10"/>
            <color rgb="FF000000"/>
            <rFont val="Calibri"/>
            <family val="2"/>
          </rPr>
          <t>Outstanding Claims</t>
        </r>
      </text>
    </comment>
    <comment ref="G20" authorId="0" shapeId="0" xr:uid="{29A05E35-FBCF-1F48-B9BE-7DE79DEDF470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</t>
        </r>
        <r>
          <rPr>
            <sz val="10"/>
            <color rgb="FF000000"/>
            <rFont val="Calibri"/>
            <family val="2"/>
            <scheme val="minor"/>
          </rPr>
          <t xml:space="preserve">Loans &amp; Advances
</t>
        </r>
        <r>
          <rPr>
            <sz val="10"/>
            <color rgb="FF000000"/>
            <rFont val="Tahoma"/>
            <family val="2"/>
          </rPr>
          <t xml:space="preserve">2) </t>
        </r>
        <r>
          <rPr>
            <sz val="10"/>
            <color rgb="FF000000"/>
            <rFont val="Calibri"/>
            <family val="2"/>
            <scheme val="minor"/>
          </rPr>
          <t xml:space="preserve">Benefit Termination
</t>
        </r>
        <r>
          <rPr>
            <sz val="10"/>
            <color rgb="FF000000"/>
            <rFont val="Tahoma"/>
            <family val="2"/>
          </rPr>
          <t xml:space="preserve">3) </t>
        </r>
        <r>
          <rPr>
            <sz val="10"/>
            <color rgb="FF000000"/>
            <rFont val="Calibri"/>
            <family val="2"/>
            <scheme val="minor"/>
          </rPr>
          <t>Asset Recovery</t>
        </r>
      </text>
    </comment>
    <comment ref="E26" authorId="0" shapeId="0" xr:uid="{CC4C4F30-17E2-5B46-948A-8691C41B822B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Employment Contract 
</t>
        </r>
        <r>
          <rPr>
            <sz val="10"/>
            <color rgb="FF000000"/>
            <rFont val="Tahoma"/>
            <family val="2"/>
          </rPr>
          <t xml:space="preserve">2) </t>
        </r>
        <r>
          <rPr>
            <sz val="10"/>
            <color rgb="FF000000"/>
            <rFont val="Calibri"/>
            <family val="2"/>
          </rPr>
          <t xml:space="preserve">Verify Identity (Identification Document)
</t>
        </r>
        <r>
          <rPr>
            <sz val="10"/>
            <color rgb="FF000000"/>
            <rFont val="Tahoma"/>
            <family val="2"/>
          </rPr>
          <t>3) Enrolment walkthrough</t>
        </r>
      </text>
    </comment>
    <comment ref="F26" authorId="0" shapeId="0" xr:uid="{45A4BA2A-2A2D-FA46-89C5-FA988BD524BE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PAYE, SDL, UIF
</t>
        </r>
        <r>
          <rPr>
            <sz val="10"/>
            <color rgb="FF000000"/>
            <rFont val="Tahoma"/>
            <family val="2"/>
          </rPr>
          <t xml:space="preserve">2) </t>
        </r>
        <r>
          <rPr>
            <sz val="10"/>
            <color rgb="FF000000"/>
            <rFont val="Calibri"/>
            <family val="2"/>
            <scheme val="minor"/>
          </rPr>
          <t>Employer Contributions to benefits</t>
        </r>
      </text>
    </comment>
    <comment ref="G26" authorId="0" shapeId="0" xr:uid="{3DBEA7B9-FBDA-6648-9C30-751FB94CD2B3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Retirement Annuity
</t>
        </r>
        <r>
          <rPr>
            <sz val="10"/>
            <color rgb="FF000000"/>
            <rFont val="Tahoma"/>
            <family val="2"/>
          </rPr>
          <t>2) Medical Aid</t>
        </r>
      </text>
    </comment>
    <comment ref="H26" authorId="0" shapeId="0" xr:uid="{8CD0852E-7027-7D47-B299-7BC018C34DE4}">
      <text>
        <r>
          <rPr>
            <b/>
            <sz val="10"/>
            <color rgb="FF000000"/>
            <rFont val="Tahoma"/>
            <family val="2"/>
          </rPr>
          <t>Armand Slabbert Buchanan: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1) Any additional documentation 
</t>
        </r>
        <r>
          <rPr>
            <sz val="10"/>
            <color rgb="FF000000"/>
            <rFont val="Tahoma"/>
            <family val="2"/>
          </rPr>
          <t xml:space="preserve">	Medical Aid
</t>
        </r>
        <r>
          <rPr>
            <sz val="10"/>
            <color rgb="FF000000"/>
            <rFont val="Tahoma"/>
            <family val="2"/>
          </rPr>
          <t xml:space="preserve">	Emergency Contact</t>
        </r>
      </text>
    </comment>
  </commentList>
</comments>
</file>

<file path=xl/sharedStrings.xml><?xml version="1.0" encoding="utf-8"?>
<sst xmlns="http://schemas.openxmlformats.org/spreadsheetml/2006/main" count="256" uniqueCount="144">
  <si>
    <t>Category</t>
  </si>
  <si>
    <t>Task Description</t>
  </si>
  <si>
    <t>Pay Period</t>
  </si>
  <si>
    <t>Prepared By</t>
  </si>
  <si>
    <t>Reviewed By</t>
  </si>
  <si>
    <t>Status</t>
  </si>
  <si>
    <t>Notes / Exceptions</t>
  </si>
  <si>
    <t>Payroll</t>
  </si>
  <si>
    <t>Validate employee master file changes (new hires, terminations, salary adjustments)</t>
  </si>
  <si>
    <t>Not Started</t>
  </si>
  <si>
    <t>Reconcile payroll input to approved timesheets or contracts</t>
  </si>
  <si>
    <t>Review payroll calculations including PAYE, UIF, SDL</t>
  </si>
  <si>
    <t>Agree net pay to payroll summary and GL postings</t>
  </si>
  <si>
    <t>Obtain approval for payroll payment before release</t>
  </si>
  <si>
    <t>Confirm payroll payment processed and employees paid</t>
  </si>
  <si>
    <t>Independent Contractor</t>
  </si>
  <si>
    <t>Validate contractor invoices against agreements or deliverables</t>
  </si>
  <si>
    <t>Confirm tax treatment (PAYE vs invoice basis) is appropriate</t>
  </si>
  <si>
    <t>Ensure contractor payment approved per delegation of authority</t>
  </si>
  <si>
    <t>Agree contractor costs to GL and project allocations</t>
  </si>
  <si>
    <t>Period</t>
  </si>
  <si>
    <t>Total Cost</t>
  </si>
  <si>
    <t>Payment Released By</t>
  </si>
  <si>
    <t>Yes</t>
  </si>
  <si>
    <t>Statutory Verified (Yes/No)</t>
  </si>
  <si>
    <t>Work in progress</t>
  </si>
  <si>
    <t xml:space="preserve">     COMPANY NAME </t>
  </si>
  <si>
    <t>Version:</t>
  </si>
  <si>
    <t>v1.0</t>
  </si>
  <si>
    <t>Last Updated:</t>
  </si>
  <si>
    <t>Owner:</t>
  </si>
  <si>
    <t>Armand Slabbert</t>
  </si>
  <si>
    <t>Payroll and Independent Contractors</t>
  </si>
  <si>
    <t>Complete</t>
  </si>
  <si>
    <t xml:space="preserve"> Head of Finance Operations     </t>
  </si>
  <si>
    <t>Jacques le Roux</t>
  </si>
  <si>
    <t xml:space="preserve"> Finance Operations Coordinator </t>
  </si>
  <si>
    <t>Lindiwe Mabaso</t>
  </si>
  <si>
    <t xml:space="preserve"> Internal Audit Officer         </t>
  </si>
  <si>
    <t>Arno Steyn</t>
  </si>
  <si>
    <t xml:space="preserve"> VAT &amp; Tax Accountant           </t>
  </si>
  <si>
    <t>Nomsa Madonsela</t>
  </si>
  <si>
    <t xml:space="preserve"> Cost Accountant                </t>
  </si>
  <si>
    <t>Christo Nel</t>
  </si>
  <si>
    <t xml:space="preserve"> Compliance &amp; Reporting Officer </t>
  </si>
  <si>
    <t>Palesa Motsepe</t>
  </si>
  <si>
    <t xml:space="preserve"> Treasury Analyst               </t>
  </si>
  <si>
    <t>Ruan de Villiers</t>
  </si>
  <si>
    <t xml:space="preserve"> Accounts Payable Supervisor    </t>
  </si>
  <si>
    <t>Sibusiso Khumalo</t>
  </si>
  <si>
    <t xml:space="preserve"> Finance Administrator          </t>
  </si>
  <si>
    <t>Marlene Coetzee</t>
  </si>
  <si>
    <t xml:space="preserve"> Assistant Accountant           </t>
  </si>
  <si>
    <t>Kagiso Mokoena</t>
  </si>
  <si>
    <t xml:space="preserve"> Financial Analyst              </t>
  </si>
  <si>
    <t>Francois Joubert</t>
  </si>
  <si>
    <t xml:space="preserve"> Payroll Administrator          </t>
  </si>
  <si>
    <t>Busisiwe Zulu</t>
  </si>
  <si>
    <t xml:space="preserve"> Group Reporting Accountant     </t>
  </si>
  <si>
    <t>Heinrich Müller</t>
  </si>
  <si>
    <t xml:space="preserve"> Management Accountant          </t>
  </si>
  <si>
    <t>Lerato Kgosi</t>
  </si>
  <si>
    <t xml:space="preserve"> Financial Controller           </t>
  </si>
  <si>
    <t>Willem Pretorius</t>
  </si>
  <si>
    <t xml:space="preserve"> Debtors Clerk                  </t>
  </si>
  <si>
    <t>Zandile Nkomo</t>
  </si>
  <si>
    <t xml:space="preserve"> Creditors Clerk                </t>
  </si>
  <si>
    <t>Pieter du Plessis</t>
  </si>
  <si>
    <t xml:space="preserve"> Bookkeeper                     </t>
  </si>
  <si>
    <t>Naledi Molefe</t>
  </si>
  <si>
    <t xml:space="preserve"> Junior Accountant              </t>
  </si>
  <si>
    <t>Johan Botha</t>
  </si>
  <si>
    <t xml:space="preserve"> Senior Accountant              </t>
  </si>
  <si>
    <t>Siphelele Dlamini</t>
  </si>
  <si>
    <t xml:space="preserve"> Finance Manager                </t>
  </si>
  <si>
    <t>Annelie van Wyk</t>
  </si>
  <si>
    <t xml:space="preserve"> Chief Financial Officer        </t>
  </si>
  <si>
    <t>Thabo Maseko</t>
  </si>
  <si>
    <t>Job Title</t>
  </si>
  <si>
    <t>Owner &amp; Reviewer</t>
  </si>
  <si>
    <t>2026-02</t>
  </si>
  <si>
    <t>2026-01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</si>
  <si>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</si>
  <si>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</si>
  <si>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</si>
  <si>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</si>
  <si>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</si>
  <si>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</si>
  <si>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</si>
  <si>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</si>
  <si>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</si>
  <si>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</si>
  <si>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Recon</t>
  </si>
  <si>
    <t>Closing Employee Balance</t>
  </si>
  <si>
    <t>Opening Employee Balance</t>
  </si>
  <si>
    <t>Total</t>
  </si>
  <si>
    <t>Onboarding Employees</t>
  </si>
  <si>
    <t>5. Record Keeping</t>
  </si>
  <si>
    <t>Agree to Payroll file</t>
  </si>
  <si>
    <t>1. Employee Documentation</t>
  </si>
  <si>
    <t>3.  Deductions &amp; Contributions</t>
  </si>
  <si>
    <t>1. Essential Final Paperwork</t>
  </si>
  <si>
    <t>2. Final Pay Calculations</t>
  </si>
  <si>
    <t>3. Deductions &amp; Clearances</t>
  </si>
  <si>
    <t>2. Remuneration Compliance</t>
  </si>
  <si>
    <r>
      <t xml:space="preserve">Refer to tab </t>
    </r>
    <r>
      <rPr>
        <b/>
        <sz val="11"/>
        <color theme="7" tint="0.39997558519241921"/>
        <rFont val="Calibri (Body)"/>
      </rPr>
      <t>Assumptions - STATUS</t>
    </r>
    <r>
      <rPr>
        <b/>
        <sz val="11"/>
        <color rgb="FF82CAEC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
</t>
    </r>
  </si>
  <si>
    <r>
      <t xml:space="preserve">Refer to tab </t>
    </r>
    <r>
      <rPr>
        <b/>
        <sz val="11"/>
        <color theme="8" tint="0.39997558519241921"/>
        <rFont val="Aptos Narrow"/>
      </rPr>
      <t>Assumptions - EMPLOYEE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</si>
  <si>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theme="9" tint="-0.249977111117893"/>
        <rFont val="Aptos Narrow"/>
      </rPr>
      <t>Assumptions - PAY MTH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</si>
  <si>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t>Applies To</t>
  </si>
  <si>
    <t>Key Meaning (BS Reconciliations)</t>
  </si>
  <si>
    <t>Control Requirement</t>
  </si>
  <si>
    <t>Evidence Required</t>
  </si>
  <si>
    <t>None</t>
  </si>
  <si>
    <t>In Progress</t>
  </si>
  <si>
    <t>Monthly payroll, PAYE, UIF, SDL</t>
  </si>
  <si>
    <t>No payroll calculation or recon prepared. Liability not validated.</t>
  </si>
  <si>
    <t>No postings or payments allowed.</t>
  </si>
  <si>
    <t>Payroll processing</t>
  </si>
  <si>
    <t>Payroll calculated but subject to change. Draft liability only.</t>
  </si>
  <si>
    <t>Figures cannot be used for reporting or payment.</t>
  </si>
  <si>
    <t>Draft payroll report</t>
  </si>
  <si>
    <t>Prepared</t>
  </si>
  <si>
    <t>Payroll liability reconciliation</t>
  </si>
  <si>
    <t>Payroll per system agrees to GL; variances identified.</t>
  </si>
  <si>
    <t>Requires independent review before payment.</t>
  </si>
  <si>
    <t>Reconciliation + payroll summary</t>
  </si>
  <si>
    <t>Under Review</t>
  </si>
  <si>
    <t>Prepared payroll packs</t>
  </si>
  <si>
    <t>Reviewer assessing accuracy of pay, deductions, and employer taxes.</t>
  </si>
  <si>
    <t>No payment until approval.</t>
  </si>
  <si>
    <t>Review checklist / comments</t>
  </si>
  <si>
    <t>Approved</t>
  </si>
  <si>
    <t>Final payroll &amp; statutory liabilities</t>
  </si>
  <si>
    <t>Reviewer satisfied; amounts final.</t>
  </si>
  <si>
    <t>Payment can be released.</t>
  </si>
  <si>
    <t>Signed approval / workflow</t>
  </si>
  <si>
    <t>Paid</t>
  </si>
  <si>
    <t>Net salaries &amp; SARS liabilities</t>
  </si>
  <si>
    <t>Payments processed; liability cleared or ageing correctly.</t>
  </si>
  <si>
    <t>Must match approved figures.</t>
  </si>
  <si>
    <t>Proof of payment + bank extract</t>
  </si>
  <si>
    <t>4.Comments</t>
  </si>
  <si>
    <t>6. Comments</t>
  </si>
  <si>
    <t>Resigned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</si>
</sst>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2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name val="Aptos Narrow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Aptos Narrow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7" tint="0.39997558519241921"/>
      <name val="Calibri (Body)"/>
    </font>
    <font>
      <b/>
      <sz val="11"/>
      <color rgb="FF82CAEC"/>
      <name val="Calibri"/>
      <family val="2"/>
      <scheme val="minor"/>
    </font>
    <font>
      <b/>
      <sz val="11"/>
      <color rgb="FF000000"/>
      <name val="Aptos Narrow"/>
    </font>
    <font>
      <b/>
      <sz val="11"/>
      <color theme="8" tint="0.39997558519241921"/>
      <name val="Aptos Narrow"/>
    </font>
    <font>
      <b/>
      <sz val="11"/>
      <color rgb="FFE49EDD"/>
      <name val="Aptos Narrow"/>
    </font>
    <font>
      <b/>
      <sz val="11"/>
      <color theme="9" tint="-0.249977111117893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3" fillId="0" borderId="0" xfId="1"/>
    <xf numFmtId="0" fontId="5" fillId="0" borderId="0" xfId="1" applyFont="1" applyAlignment="1">
      <alignment horizontal="center"/>
    </xf>
    <xf numFmtId="0" fontId="6" fillId="0" borderId="0" xfId="1" applyFont="1"/>
    <xf numFmtId="14" fontId="3" fillId="0" borderId="0" xfId="1" applyNumberFormat="1" applyAlignment="1">
      <alignment horizontal="left"/>
    </xf>
    <xf numFmtId="0" fontId="3" fillId="0" borderId="0" xfId="1" applyAlignment="1">
      <alignment horizontal="center"/>
    </xf>
    <xf numFmtId="0" fontId="9" fillId="0" borderId="0" xfId="1" applyFont="1"/>
    <xf numFmtId="0" fontId="10" fillId="0" borderId="0" xfId="1" applyFont="1"/>
    <xf numFmtId="0" fontId="11" fillId="0" borderId="0" xfId="1" applyFont="1"/>
    <xf numFmtId="0" fontId="0" fillId="3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1" applyBorder="1"/>
    <xf numFmtId="0" fontId="0" fillId="0" borderId="0" xfId="0" applyFont="1" applyBorder="1" applyAlignment="1">
      <alignment horizontal="left" vertical="top" wrapText="1"/>
    </xf>
    <xf numFmtId="0" fontId="3" fillId="0" borderId="0" xfId="1" applyBorder="1" applyAlignment="1">
      <alignment horizontal="center"/>
    </xf>
    <xf numFmtId="0" fontId="3" fillId="0" borderId="0" xfId="1" applyBorder="1" applyAlignment="1">
      <alignment horizontal="center" vertical="center"/>
    </xf>
    <xf numFmtId="0" fontId="7" fillId="0" borderId="5" xfId="1" applyFont="1" applyBorder="1"/>
    <xf numFmtId="0" fontId="7" fillId="0" borderId="6" xfId="1" applyFont="1" applyBorder="1" applyAlignment="1">
      <alignment horizontal="center"/>
    </xf>
    <xf numFmtId="0" fontId="8" fillId="0" borderId="6" xfId="1" applyFont="1" applyBorder="1"/>
    <xf numFmtId="0" fontId="8" fillId="0" borderId="7" xfId="1" applyFont="1" applyBorder="1"/>
    <xf numFmtId="0" fontId="3" fillId="0" borderId="8" xfId="1" applyBorder="1"/>
    <xf numFmtId="0" fontId="3" fillId="0" borderId="9" xfId="1" applyBorder="1"/>
    <xf numFmtId="0" fontId="6" fillId="0" borderId="0" xfId="1" applyFont="1" applyBorder="1"/>
    <xf numFmtId="0" fontId="3" fillId="0" borderId="11" xfId="1" applyBorder="1" applyAlignment="1">
      <alignment horizontal="center"/>
    </xf>
    <xf numFmtId="0" fontId="3" fillId="0" borderId="11" xfId="1" applyBorder="1"/>
    <xf numFmtId="0" fontId="3" fillId="0" borderId="12" xfId="1" applyBorder="1"/>
    <xf numFmtId="1" fontId="3" fillId="0" borderId="0" xfId="1" applyNumberFormat="1" applyAlignment="1">
      <alignment horizontal="center" vertical="center"/>
    </xf>
    <xf numFmtId="1" fontId="8" fillId="0" borderId="6" xfId="1" applyNumberFormat="1" applyFont="1" applyBorder="1" applyAlignment="1">
      <alignment horizontal="center" vertical="center"/>
    </xf>
    <xf numFmtId="1" fontId="3" fillId="0" borderId="0" xfId="1" applyNumberFormat="1" applyBorder="1" applyAlignment="1">
      <alignment horizontal="center" vertical="center"/>
    </xf>
    <xf numFmtId="1" fontId="6" fillId="0" borderId="0" xfId="1" applyNumberFormat="1" applyFont="1" applyBorder="1" applyAlignment="1">
      <alignment horizontal="center" vertical="center"/>
    </xf>
    <xf numFmtId="1" fontId="3" fillId="0" borderId="2" xfId="1" applyNumberFormat="1" applyBorder="1" applyAlignment="1">
      <alignment horizontal="center" vertical="center"/>
    </xf>
    <xf numFmtId="1" fontId="3" fillId="0" borderId="3" xfId="1" applyNumberFormat="1" applyBorder="1" applyAlignment="1">
      <alignment horizontal="center" vertical="center"/>
    </xf>
    <xf numFmtId="1" fontId="3" fillId="0" borderId="4" xfId="1" applyNumberFormat="1" applyBorder="1" applyAlignment="1">
      <alignment horizontal="center" vertical="center"/>
    </xf>
    <xf numFmtId="1" fontId="3" fillId="0" borderId="11" xfId="1" applyNumberFormat="1" applyBorder="1" applyAlignment="1">
      <alignment horizontal="center" vertical="center"/>
    </xf>
    <xf numFmtId="0" fontId="6" fillId="0" borderId="8" xfId="1" applyFont="1" applyBorder="1"/>
    <xf numFmtId="0" fontId="7" fillId="0" borderId="0" xfId="1" applyFont="1" applyBorder="1" applyAlignment="1">
      <alignment horizontal="left" vertical="top" wrapText="1"/>
    </xf>
    <xf numFmtId="0" fontId="7" fillId="0" borderId="9" xfId="1" applyFont="1" applyBorder="1" applyAlignment="1">
      <alignment horizontal="left" vertical="top" wrapText="1"/>
    </xf>
    <xf numFmtId="0" fontId="4" fillId="0" borderId="0" xfId="1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6" fillId="0" borderId="10" xfId="1" applyFont="1" applyBorder="1"/>
    <xf numFmtId="1" fontId="6" fillId="4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A1DA8323-090A-1F4D-BBFC-C2A09883C406}"/>
  </cellStyles>
  <dxfs count="1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</dxf>
    <dxf>
      <numFmt numFmtId="164" formatCode="_-[$R-1C09]* #,##0.00_-;\-[$R-1C09]* #,##0.00_-;_-[$R-1C09]* &quot;-&quot;??_-;_-@_-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5D97E-3D8A-2546-9EB4-3F38FA1E4D0A}" name="Table1" displayName="Table1" ref="B2:H12" totalsRowShown="0" headerRowDxfId="18" dataDxfId="17">
  <autoFilter ref="B2:H12" xr:uid="{C585D97E-3D8A-2546-9EB4-3F38FA1E4D0A}"/>
  <tableColumns count="7">
    <tableColumn id="1" xr3:uid="{A2D26745-B613-2246-8291-D26AF9111F37}" name="Category" dataDxfId="16"/>
    <tableColumn id="2" xr3:uid="{B21637BF-21EE-494F-9910-7F65798502F6}" name="Task Description" dataDxfId="15"/>
    <tableColumn id="3" xr3:uid="{A41A494B-1086-F24B-BA9E-CA0A800E7B9B}" name="Pay Period" dataDxfId="8"/>
    <tableColumn id="4" xr3:uid="{376910E4-04BA-6A49-A826-D78C74DD9EBA}" name="Prepared By" dataDxfId="10"/>
    <tableColumn id="5" xr3:uid="{592F37D0-04B4-394B-A009-AFB024CCF5D8}" name="Reviewed By" dataDxfId="9"/>
    <tableColumn id="8" xr3:uid="{EAED326E-DF9C-F047-964A-8E4591FE95E0}" name="Status" dataDxfId="14"/>
    <tableColumn id="9" xr3:uid="{EDA177DF-A0EB-534F-AF91-67A285ED88FA}" name="Notes / Exceptions" dataDxfId="13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F952D0-B3E8-3F49-B3FA-949B546F1468}" name="Table3" displayName="Table3" ref="B2:H5" totalsRowShown="0" headerRowDxfId="4" headerRowBorderDxfId="6" tableBorderDxfId="7">
  <autoFilter ref="B2:H5" xr:uid="{42F952D0-B3E8-3F49-B3FA-949B546F1468}"/>
  <tableColumns count="7">
    <tableColumn id="1" xr3:uid="{EE7F9B5A-D8C5-4049-A3A9-C9A972376B99}" name="Category"/>
    <tableColumn id="2" xr3:uid="{DE054218-124F-864D-925F-BE888C2B50C7}" name="Period" dataDxfId="3"/>
    <tableColumn id="3" xr3:uid="{2771E2BD-3348-E44C-91D5-5E27FE9B69C8}" name="Total Cost" dataDxfId="2"/>
    <tableColumn id="4" xr3:uid="{9880C95C-B6C5-EA40-9A01-0708B573C661}" name="Statutory Verified (Yes/No)" dataDxfId="0"/>
    <tableColumn id="5" xr3:uid="{3D610F4B-157E-3349-A8B5-5A9B6C9D2891}" name="Reviewed By" dataDxfId="1"/>
    <tableColumn id="6" xr3:uid="{EA575E39-CF0A-2A4B-A5C8-A6A17266AE3D}" name="Payment Released By" dataDxfId="5"/>
    <tableColumn id="7" xr3:uid="{B66E852D-1A91-F54D-AB98-24927FDF2A7A}" name="Status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898680-DDA3-7D4A-AF10-C15D0AF79F1A}" name="Table5" displayName="Table5" ref="A1:A13" totalsRowShown="0">
  <autoFilter ref="A1:A13" xr:uid="{D8898680-DDA3-7D4A-AF10-C15D0AF79F1A}"/>
  <tableColumns count="1">
    <tableColumn id="1" xr3:uid="{D0B413C6-C5AB-4C42-BD01-6F0122CDAFF7}" name="Period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246C1E-64E9-4A48-9B59-A65A39FCC089}" name="Table2" displayName="Table2" ref="A1:B23" totalsRowShown="0" headerRowDxfId="12">
  <autoFilter ref="A1:B23" xr:uid="{C14D6A05-D3A4-4D13-9CCA-7697BEEBC05A}"/>
  <tableColumns count="2">
    <tableColumn id="1" xr3:uid="{174FA22B-D640-8A45-9C76-3A1FA06F276A}" name="Owner &amp; Reviewer"/>
    <tableColumn id="2" xr3:uid="{BFA97E19-EBC2-E849-BF10-499AC085B074}" name="Job Title" dataDxfId="11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E613A0-4D21-4F49-8A2C-7551EAC06BC6}" name="Table4" displayName="Table4" ref="A1:E7" totalsRowShown="0">
  <autoFilter ref="A1:E7" xr:uid="{7E185E5F-B21F-412C-9D58-C85604FFB40C}"/>
  <tableColumns count="5">
    <tableColumn id="1" xr3:uid="{8A3E11B7-EFA8-7C43-86A9-842654310B4D}" name="Status"/>
    <tableColumn id="2" xr3:uid="{96C87376-EE10-C04F-9C45-49ADAB5B26EF}" name="Applies To"/>
    <tableColumn id="3" xr3:uid="{66E3657A-5EAD-274E-86F6-9C29774CD34C}" name="Key Meaning (BS Reconciliations)"/>
    <tableColumn id="4" xr3:uid="{B935A851-4DCA-2843-BEE8-6E7C6304DD71}" name="Control Requirement"/>
    <tableColumn id="5" xr3:uid="{01DA025B-8446-3C49-943D-B29A0E12AF44}" name="Evidence Require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6FC8-1C1C-AE45-A39D-5268AA715DEA}">
  <dimension ref="B5:I62"/>
  <sheetViews>
    <sheetView showGridLines="0" tabSelected="1" topLeftCell="A11" workbookViewId="0">
      <selection activeCell="G30" sqref="G30"/>
    </sheetView>
  </sheetViews>
  <sheetFormatPr baseColWidth="10" defaultColWidth="8.83203125" defaultRowHeight="15" x14ac:dyDescent="0.2"/>
  <cols>
    <col min="1" max="1" width="1.83203125" style="5" customWidth="1"/>
    <col min="2" max="2" width="15.6640625" style="5" customWidth="1"/>
    <col min="3" max="3" width="21.83203125" style="5" bestFit="1" customWidth="1"/>
    <col min="4" max="4" width="8.83203125" style="33"/>
    <col min="5" max="6" width="23.83203125" style="5" customWidth="1"/>
    <col min="7" max="7" width="25.1640625" style="5" customWidth="1"/>
    <col min="8" max="8" width="16.6640625" style="5" customWidth="1"/>
    <col min="9" max="9" width="23.83203125" style="5" customWidth="1"/>
    <col min="10" max="16384" width="8.83203125" style="5"/>
  </cols>
  <sheetData>
    <row r="5" spans="2:9" ht="62" x14ac:dyDescent="0.7">
      <c r="B5" s="44" t="s">
        <v>26</v>
      </c>
      <c r="C5" s="44"/>
      <c r="D5" s="44"/>
      <c r="E5" s="44"/>
      <c r="F5" s="44"/>
      <c r="G5" s="44"/>
      <c r="H5" s="44"/>
      <c r="I5" s="44"/>
    </row>
    <row r="10" spans="2:9" ht="22" x14ac:dyDescent="0.3">
      <c r="B10" s="6" t="s">
        <v>32</v>
      </c>
      <c r="C10" s="6"/>
      <c r="D10" s="6"/>
      <c r="E10" s="6"/>
      <c r="F10" s="6"/>
      <c r="G10" s="6"/>
      <c r="H10" s="6"/>
      <c r="I10" s="6"/>
    </row>
    <row r="12" spans="2:9" x14ac:dyDescent="0.2">
      <c r="B12" s="7" t="s">
        <v>27</v>
      </c>
      <c r="C12" s="5" t="s">
        <v>28</v>
      </c>
    </row>
    <row r="13" spans="2:9" x14ac:dyDescent="0.2">
      <c r="B13" s="7" t="s">
        <v>29</v>
      </c>
      <c r="C13" s="8">
        <v>46064</v>
      </c>
    </row>
    <row r="14" spans="2:9" x14ac:dyDescent="0.2">
      <c r="B14" s="7" t="s">
        <v>30</v>
      </c>
      <c r="C14" s="5" t="s">
        <v>31</v>
      </c>
    </row>
    <row r="15" spans="2:9" ht="16" thickBot="1" x14ac:dyDescent="0.25"/>
    <row r="16" spans="2:9" x14ac:dyDescent="0.2">
      <c r="B16" s="23" t="s">
        <v>92</v>
      </c>
      <c r="C16" s="24"/>
      <c r="D16" s="34"/>
      <c r="E16" s="25"/>
      <c r="F16" s="25"/>
      <c r="G16" s="25"/>
      <c r="H16" s="25"/>
      <c r="I16" s="26"/>
    </row>
    <row r="17" spans="2:9" x14ac:dyDescent="0.2">
      <c r="B17" s="27"/>
      <c r="C17" s="21"/>
      <c r="D17" s="35"/>
      <c r="E17" s="19"/>
      <c r="F17" s="19"/>
      <c r="G17" s="19"/>
      <c r="H17" s="19"/>
      <c r="I17" s="28"/>
    </row>
    <row r="18" spans="2:9" x14ac:dyDescent="0.2">
      <c r="B18" s="41" t="s">
        <v>94</v>
      </c>
      <c r="C18" s="21"/>
      <c r="D18" s="51">
        <v>121</v>
      </c>
      <c r="E18" s="19"/>
      <c r="F18" s="19"/>
      <c r="G18" s="19"/>
      <c r="H18" s="19"/>
      <c r="I18" s="28"/>
    </row>
    <row r="19" spans="2:9" x14ac:dyDescent="0.2">
      <c r="B19" s="41"/>
      <c r="C19" s="21"/>
      <c r="D19" s="35"/>
      <c r="E19" s="19"/>
      <c r="F19" s="19"/>
      <c r="G19" s="19"/>
      <c r="H19" s="19"/>
      <c r="I19" s="28"/>
    </row>
    <row r="20" spans="2:9" ht="16" x14ac:dyDescent="0.2">
      <c r="B20" s="41"/>
      <c r="C20" s="21"/>
      <c r="D20" s="36" t="s">
        <v>95</v>
      </c>
      <c r="E20" s="42" t="s">
        <v>101</v>
      </c>
      <c r="F20" s="42" t="s">
        <v>102</v>
      </c>
      <c r="G20" s="42" t="s">
        <v>103</v>
      </c>
      <c r="H20" s="42" t="s">
        <v>141</v>
      </c>
      <c r="I20" s="28"/>
    </row>
    <row r="21" spans="2:9" x14ac:dyDescent="0.2">
      <c r="B21" s="41" t="s">
        <v>143</v>
      </c>
      <c r="C21" s="21"/>
      <c r="D21" s="51">
        <f>SUM(D22:D24)</f>
        <v>-3</v>
      </c>
      <c r="E21" s="19"/>
      <c r="F21" s="19"/>
      <c r="G21" s="19"/>
      <c r="H21" s="19"/>
      <c r="I21" s="43"/>
    </row>
    <row r="22" spans="2:9" ht="17" x14ac:dyDescent="0.2">
      <c r="B22" s="41"/>
      <c r="C22" s="20" t="s">
        <v>67</v>
      </c>
      <c r="D22" s="37">
        <f>-COUNTA(C22)</f>
        <v>-1</v>
      </c>
      <c r="E22" s="22" t="s">
        <v>23</v>
      </c>
      <c r="F22" s="22" t="s">
        <v>23</v>
      </c>
      <c r="G22" s="22" t="s">
        <v>23</v>
      </c>
      <c r="H22" s="22"/>
      <c r="I22" s="28"/>
    </row>
    <row r="23" spans="2:9" ht="17" x14ac:dyDescent="0.2">
      <c r="B23" s="41"/>
      <c r="C23" s="20" t="s">
        <v>73</v>
      </c>
      <c r="D23" s="38">
        <f>-COUNTA(C23)</f>
        <v>-1</v>
      </c>
      <c r="E23" s="22" t="s">
        <v>23</v>
      </c>
      <c r="F23" s="22" t="s">
        <v>23</v>
      </c>
      <c r="G23" s="22" t="s">
        <v>23</v>
      </c>
      <c r="H23" s="22"/>
      <c r="I23" s="28"/>
    </row>
    <row r="24" spans="2:9" ht="17" x14ac:dyDescent="0.2">
      <c r="B24" s="41"/>
      <c r="C24" s="20" t="s">
        <v>71</v>
      </c>
      <c r="D24" s="39">
        <f t="shared" ref="D24" si="0">-COUNTA(C24)</f>
        <v>-1</v>
      </c>
      <c r="E24" s="22" t="s">
        <v>23</v>
      </c>
      <c r="F24" s="22" t="s">
        <v>23</v>
      </c>
      <c r="G24" s="22" t="s">
        <v>23</v>
      </c>
      <c r="H24" s="22"/>
      <c r="I24" s="28"/>
    </row>
    <row r="25" spans="2:9" ht="16" x14ac:dyDescent="0.2">
      <c r="B25" s="41"/>
      <c r="C25" s="20"/>
      <c r="D25" s="35"/>
      <c r="E25" s="19"/>
      <c r="F25" s="19"/>
      <c r="G25" s="19"/>
      <c r="H25" s="19"/>
      <c r="I25" s="49"/>
    </row>
    <row r="26" spans="2:9" ht="18" customHeight="1" x14ac:dyDescent="0.2">
      <c r="B26" s="41"/>
      <c r="C26" s="21"/>
      <c r="D26" s="36" t="s">
        <v>95</v>
      </c>
      <c r="E26" s="42" t="s">
        <v>99</v>
      </c>
      <c r="F26" s="42" t="s">
        <v>104</v>
      </c>
      <c r="G26" s="42" t="s">
        <v>100</v>
      </c>
      <c r="H26" s="42" t="s">
        <v>97</v>
      </c>
      <c r="I26" s="43" t="s">
        <v>142</v>
      </c>
    </row>
    <row r="27" spans="2:9" ht="16" x14ac:dyDescent="0.2">
      <c r="B27" s="41" t="s">
        <v>96</v>
      </c>
      <c r="C27" s="21"/>
      <c r="D27" s="51">
        <f>SUM(D28:D33)</f>
        <v>6</v>
      </c>
      <c r="E27" s="19"/>
      <c r="F27" s="19"/>
      <c r="G27" s="19"/>
      <c r="H27" s="19"/>
      <c r="I27" s="49"/>
    </row>
    <row r="28" spans="2:9" ht="17" x14ac:dyDescent="0.2">
      <c r="B28" s="41"/>
      <c r="C28" s="20" t="s">
        <v>65</v>
      </c>
      <c r="D28" s="37">
        <f>COUNTA(C28)</f>
        <v>1</v>
      </c>
      <c r="E28" s="22" t="s">
        <v>23</v>
      </c>
      <c r="F28" s="22" t="s">
        <v>23</v>
      </c>
      <c r="G28" s="22" t="s">
        <v>23</v>
      </c>
      <c r="H28" s="22" t="s">
        <v>23</v>
      </c>
      <c r="I28" s="49"/>
    </row>
    <row r="29" spans="2:9" ht="17" x14ac:dyDescent="0.2">
      <c r="B29" s="41"/>
      <c r="C29" s="20" t="s">
        <v>73</v>
      </c>
      <c r="D29" s="38">
        <f t="shared" ref="D29:D33" si="1">COUNTA(C29)</f>
        <v>1</v>
      </c>
      <c r="E29" s="22" t="s">
        <v>23</v>
      </c>
      <c r="F29" s="22" t="s">
        <v>23</v>
      </c>
      <c r="G29" s="22" t="s">
        <v>23</v>
      </c>
      <c r="H29" s="22" t="s">
        <v>23</v>
      </c>
      <c r="I29" s="49"/>
    </row>
    <row r="30" spans="2:9" ht="17" x14ac:dyDescent="0.2">
      <c r="B30" s="41"/>
      <c r="C30" s="20" t="s">
        <v>71</v>
      </c>
      <c r="D30" s="38">
        <f t="shared" si="1"/>
        <v>1</v>
      </c>
      <c r="E30" s="22" t="s">
        <v>23</v>
      </c>
      <c r="F30" s="22" t="s">
        <v>23</v>
      </c>
      <c r="G30" s="22" t="s">
        <v>23</v>
      </c>
      <c r="H30" s="22" t="s">
        <v>23</v>
      </c>
      <c r="I30" s="49"/>
    </row>
    <row r="31" spans="2:9" ht="17" x14ac:dyDescent="0.2">
      <c r="B31" s="41"/>
      <c r="C31" s="20" t="s">
        <v>65</v>
      </c>
      <c r="D31" s="38">
        <f t="shared" si="1"/>
        <v>1</v>
      </c>
      <c r="E31" s="22" t="s">
        <v>23</v>
      </c>
      <c r="F31" s="22" t="s">
        <v>23</v>
      </c>
      <c r="G31" s="22" t="s">
        <v>23</v>
      </c>
      <c r="H31" s="22" t="s">
        <v>23</v>
      </c>
      <c r="I31" s="49"/>
    </row>
    <row r="32" spans="2:9" ht="17" x14ac:dyDescent="0.2">
      <c r="B32" s="41"/>
      <c r="C32" s="20" t="s">
        <v>69</v>
      </c>
      <c r="D32" s="38">
        <f t="shared" si="1"/>
        <v>1</v>
      </c>
      <c r="E32" s="22" t="s">
        <v>23</v>
      </c>
      <c r="F32" s="22" t="s">
        <v>23</v>
      </c>
      <c r="G32" s="22" t="s">
        <v>23</v>
      </c>
      <c r="H32" s="22" t="s">
        <v>23</v>
      </c>
      <c r="I32" s="49"/>
    </row>
    <row r="33" spans="2:9" ht="17" x14ac:dyDescent="0.2">
      <c r="B33" s="41"/>
      <c r="C33" s="20" t="s">
        <v>67</v>
      </c>
      <c r="D33" s="39">
        <f t="shared" si="1"/>
        <v>1</v>
      </c>
      <c r="E33" s="22" t="s">
        <v>23</v>
      </c>
      <c r="F33" s="22" t="s">
        <v>23</v>
      </c>
      <c r="G33" s="22" t="s">
        <v>23</v>
      </c>
      <c r="H33" s="22" t="s">
        <v>23</v>
      </c>
      <c r="I33" s="49"/>
    </row>
    <row r="34" spans="2:9" s="19" customFormat="1" ht="16" x14ac:dyDescent="0.2">
      <c r="B34" s="41"/>
      <c r="C34" s="20"/>
      <c r="D34" s="35"/>
      <c r="E34" s="22"/>
      <c r="F34" s="22"/>
      <c r="G34" s="22"/>
      <c r="H34" s="22"/>
      <c r="I34" s="49"/>
    </row>
    <row r="35" spans="2:9" x14ac:dyDescent="0.2">
      <c r="B35" s="41" t="s">
        <v>93</v>
      </c>
      <c r="C35" s="21"/>
      <c r="D35" s="51">
        <f>D18+D21+D27</f>
        <v>124</v>
      </c>
      <c r="E35" s="19" t="s">
        <v>98</v>
      </c>
      <c r="F35" s="19"/>
      <c r="G35" s="19"/>
      <c r="H35" s="19"/>
      <c r="I35" s="28"/>
    </row>
    <row r="36" spans="2:9" ht="16" thickBot="1" x14ac:dyDescent="0.25">
      <c r="B36" s="50"/>
      <c r="C36" s="30"/>
      <c r="D36" s="40"/>
      <c r="E36" s="31"/>
      <c r="F36" s="31"/>
      <c r="G36" s="31"/>
      <c r="H36" s="31"/>
      <c r="I36" s="32"/>
    </row>
    <row r="37" spans="2:9" x14ac:dyDescent="0.2">
      <c r="B37" s="29"/>
      <c r="C37" s="21"/>
      <c r="D37" s="35"/>
      <c r="E37" s="19"/>
      <c r="F37" s="19"/>
      <c r="G37" s="19"/>
      <c r="H37" s="19"/>
      <c r="I37" s="19"/>
    </row>
    <row r="38" spans="2:9" x14ac:dyDescent="0.2">
      <c r="B38" s="19"/>
      <c r="C38" s="21"/>
      <c r="D38" s="35"/>
      <c r="E38" s="19"/>
      <c r="F38" s="19"/>
      <c r="G38" s="19"/>
      <c r="H38" s="19"/>
      <c r="I38" s="19"/>
    </row>
    <row r="39" spans="2:9" x14ac:dyDescent="0.2">
      <c r="B39" s="19"/>
      <c r="C39" s="21"/>
      <c r="D39" s="35"/>
      <c r="E39" s="19"/>
      <c r="F39" s="19"/>
      <c r="G39" s="19"/>
      <c r="H39" s="19"/>
      <c r="I39" s="19"/>
    </row>
    <row r="40" spans="2:9" x14ac:dyDescent="0.2">
      <c r="C40" s="9"/>
    </row>
    <row r="41" spans="2:9" x14ac:dyDescent="0.2">
      <c r="B41" s="10"/>
    </row>
    <row r="48" spans="2:9" ht="16" x14ac:dyDescent="0.2">
      <c r="B48"/>
      <c r="C48"/>
    </row>
    <row r="49" spans="2:3" ht="16" x14ac:dyDescent="0.2">
      <c r="B49"/>
      <c r="C49"/>
    </row>
    <row r="50" spans="2:3" ht="16" x14ac:dyDescent="0.2">
      <c r="B50"/>
      <c r="C50"/>
    </row>
    <row r="51" spans="2:3" ht="16" x14ac:dyDescent="0.2">
      <c r="B51"/>
      <c r="C51"/>
    </row>
    <row r="52" spans="2:3" ht="16" x14ac:dyDescent="0.2">
      <c r="B52"/>
      <c r="C52"/>
    </row>
    <row r="53" spans="2:3" ht="16" x14ac:dyDescent="0.2">
      <c r="B53"/>
      <c r="C53"/>
    </row>
    <row r="54" spans="2:3" ht="16" x14ac:dyDescent="0.2">
      <c r="B54"/>
      <c r="C54"/>
    </row>
    <row r="55" spans="2:3" ht="24" x14ac:dyDescent="0.3">
      <c r="B55" s="11"/>
    </row>
    <row r="56" spans="2:3" ht="24" x14ac:dyDescent="0.3">
      <c r="B56" s="11"/>
    </row>
    <row r="57" spans="2:3" ht="24" x14ac:dyDescent="0.3">
      <c r="B57" s="11"/>
    </row>
    <row r="58" spans="2:3" ht="24" x14ac:dyDescent="0.3">
      <c r="B58" s="11"/>
    </row>
    <row r="59" spans="2:3" ht="24" x14ac:dyDescent="0.3">
      <c r="B59" s="11"/>
    </row>
    <row r="60" spans="2:3" ht="24" x14ac:dyDescent="0.3">
      <c r="B60" s="11"/>
    </row>
    <row r="61" spans="2:3" ht="24" x14ac:dyDescent="0.3">
      <c r="B61" s="11"/>
    </row>
    <row r="62" spans="2:3" ht="24" x14ac:dyDescent="0.3">
      <c r="B62" s="11"/>
    </row>
  </sheetData>
  <mergeCells count="2">
    <mergeCell ref="B10:I10"/>
    <mergeCell ref="B5:I5"/>
  </mergeCells>
  <dataValidations count="2">
    <dataValidation type="list" allowBlank="1" showInputMessage="1" showErrorMessage="1" sqref="E22:H24 E28:H34" xr:uid="{76509B2D-2698-9546-865D-9093B20F9257}">
      <formula1>"Yes,No"</formula1>
    </dataValidation>
    <dataValidation type="list" allowBlank="1" showInputMessage="1" showErrorMessage="1" sqref="E35" xr:uid="{E9BEC46D-89D8-224C-944D-0F32376A56EC}">
      <formula1>"Agree to Payroll file,Not Agreeing - Recon needed"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AA671109-0192-0C4F-A9B5-926BD67467A1}">
          <x14:formula1>
            <xm:f>'Assumptions - EMPLOYEE'!$A$2:$A$23</xm:f>
          </x14:formula1>
          <xm:sqref>C28:C34 C22:C25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84E2-0A37-0748-B652-F3D53DE526C3}">
  <dimension ref="B1:J12"/>
  <sheetViews>
    <sheetView showGridLines="0" workbookViewId="0">
      <selection activeCell="C12" sqref="C12"/>
    </sheetView>
  </sheetViews>
  <sheetFormatPr baseColWidth="10" defaultRowHeight="16" x14ac:dyDescent="0.2"/>
  <cols>
    <col min="1" max="1" width="4.33203125" customWidth="1"/>
    <col min="2" max="2" width="24.33203125" customWidth="1"/>
    <col min="3" max="3" width="72.83203125" bestFit="1" customWidth="1"/>
    <col min="4" max="4" width="14.33203125" bestFit="1" customWidth="1"/>
    <col min="5" max="5" width="15.5" bestFit="1" customWidth="1"/>
    <col min="6" max="6" width="16" bestFit="1" customWidth="1"/>
    <col min="7" max="7" width="13.83203125" customWidth="1"/>
    <col min="8" max="8" width="44.6640625" customWidth="1"/>
  </cols>
  <sheetData>
    <row r="1" spans="2:10" ht="58" customHeight="1" x14ac:dyDescent="0.2">
      <c r="D1" s="46" t="s">
        <v>107</v>
      </c>
      <c r="E1" s="46" t="s">
        <v>106</v>
      </c>
      <c r="F1" s="46" t="s">
        <v>106</v>
      </c>
      <c r="G1" s="45" t="s">
        <v>105</v>
      </c>
    </row>
    <row r="2" spans="2:10" s="2" customFormat="1" ht="17" x14ac:dyDescent="0.2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/>
      <c r="J2"/>
    </row>
    <row r="3" spans="2:10" ht="17" x14ac:dyDescent="0.2">
      <c r="B3" s="1" t="s">
        <v>7</v>
      </c>
      <c r="C3" s="1" t="s">
        <v>8</v>
      </c>
      <c r="D3" s="1" t="s">
        <v>82</v>
      </c>
      <c r="E3" s="1" t="s">
        <v>69</v>
      </c>
      <c r="F3" s="1" t="s">
        <v>55</v>
      </c>
      <c r="G3" s="1" t="s">
        <v>131</v>
      </c>
      <c r="H3" s="1"/>
    </row>
    <row r="4" spans="2:10" ht="17" x14ac:dyDescent="0.2">
      <c r="B4" s="1" t="s">
        <v>7</v>
      </c>
      <c r="C4" s="1" t="s">
        <v>10</v>
      </c>
      <c r="D4" s="1" t="s">
        <v>82</v>
      </c>
      <c r="E4" s="1" t="s">
        <v>67</v>
      </c>
      <c r="F4" s="1" t="s">
        <v>55</v>
      </c>
      <c r="G4" s="1" t="s">
        <v>131</v>
      </c>
      <c r="H4" s="1"/>
    </row>
    <row r="5" spans="2:10" ht="17" x14ac:dyDescent="0.2">
      <c r="B5" s="1" t="s">
        <v>7</v>
      </c>
      <c r="C5" s="1" t="s">
        <v>11</v>
      </c>
      <c r="D5" s="1" t="s">
        <v>82</v>
      </c>
      <c r="E5" s="1" t="s">
        <v>67</v>
      </c>
      <c r="F5" s="1" t="s">
        <v>55</v>
      </c>
      <c r="G5" s="1" t="s">
        <v>131</v>
      </c>
      <c r="H5" s="1"/>
    </row>
    <row r="6" spans="2:10" ht="17" x14ac:dyDescent="0.2">
      <c r="B6" s="1" t="s">
        <v>7</v>
      </c>
      <c r="C6" s="1" t="s">
        <v>12</v>
      </c>
      <c r="D6" s="1" t="s">
        <v>82</v>
      </c>
      <c r="E6" s="1" t="s">
        <v>61</v>
      </c>
      <c r="F6" s="1" t="s">
        <v>55</v>
      </c>
      <c r="G6" s="1" t="s">
        <v>131</v>
      </c>
      <c r="H6" s="1"/>
    </row>
    <row r="7" spans="2:10" ht="17" x14ac:dyDescent="0.2">
      <c r="B7" s="1" t="s">
        <v>7</v>
      </c>
      <c r="C7" s="1" t="s">
        <v>13</v>
      </c>
      <c r="D7" s="1" t="s">
        <v>82</v>
      </c>
      <c r="E7" s="1" t="s">
        <v>63</v>
      </c>
      <c r="F7" s="1" t="s">
        <v>55</v>
      </c>
      <c r="G7" s="1" t="s">
        <v>131</v>
      </c>
      <c r="H7" s="1"/>
    </row>
    <row r="8" spans="2:10" ht="17" x14ac:dyDescent="0.2">
      <c r="B8" s="1" t="s">
        <v>7</v>
      </c>
      <c r="C8" s="1" t="s">
        <v>14</v>
      </c>
      <c r="D8" s="1" t="s">
        <v>82</v>
      </c>
      <c r="E8" s="1" t="s">
        <v>55</v>
      </c>
      <c r="F8" s="1" t="s">
        <v>55</v>
      </c>
      <c r="G8" s="1" t="s">
        <v>136</v>
      </c>
      <c r="H8" s="1"/>
    </row>
    <row r="9" spans="2:10" ht="17" x14ac:dyDescent="0.2">
      <c r="B9" s="1" t="s">
        <v>15</v>
      </c>
      <c r="C9" s="1" t="s">
        <v>16</v>
      </c>
      <c r="D9" s="1" t="s">
        <v>82</v>
      </c>
      <c r="E9" s="1" t="s">
        <v>65</v>
      </c>
      <c r="F9" s="1" t="s">
        <v>55</v>
      </c>
      <c r="G9" s="1" t="s">
        <v>9</v>
      </c>
      <c r="H9" s="1"/>
    </row>
    <row r="10" spans="2:10" ht="17" x14ac:dyDescent="0.2">
      <c r="B10" s="1" t="s">
        <v>15</v>
      </c>
      <c r="C10" s="1" t="s">
        <v>17</v>
      </c>
      <c r="D10" s="1" t="s">
        <v>82</v>
      </c>
      <c r="E10" s="1" t="s">
        <v>65</v>
      </c>
      <c r="F10" s="1" t="s">
        <v>55</v>
      </c>
      <c r="G10" s="1" t="s">
        <v>9</v>
      </c>
      <c r="H10" s="1"/>
    </row>
    <row r="11" spans="2:10" ht="17" x14ac:dyDescent="0.2">
      <c r="B11" s="1" t="s">
        <v>15</v>
      </c>
      <c r="C11" s="1" t="s">
        <v>18</v>
      </c>
      <c r="D11" s="1" t="s">
        <v>82</v>
      </c>
      <c r="E11" s="1" t="s">
        <v>73</v>
      </c>
      <c r="F11" s="1" t="s">
        <v>55</v>
      </c>
      <c r="G11" s="1" t="s">
        <v>9</v>
      </c>
      <c r="H11" s="1"/>
    </row>
    <row r="12" spans="2:10" ht="17" x14ac:dyDescent="0.2">
      <c r="B12" s="1" t="s">
        <v>15</v>
      </c>
      <c r="C12" s="1" t="s">
        <v>19</v>
      </c>
      <c r="D12" s="1" t="s">
        <v>82</v>
      </c>
      <c r="E12" s="1" t="s">
        <v>59</v>
      </c>
      <c r="F12" s="1" t="s">
        <v>55</v>
      </c>
      <c r="G12" s="1" t="s">
        <v>9</v>
      </c>
      <c r="H12" s="1"/>
    </row>
  </sheetData>
  <dataValidations count="2">
    <dataValidation type="list" allowBlank="1" sqref="B3:B12" xr:uid="{7FB9EB5E-B235-A14C-A588-7ECA6201A55B}">
      <formula1>"Payroll,Independent Contractor,Commission,Expense Reimbursement,Other"</formula1>
    </dataValidation>
    <dataValidation type="list" allowBlank="1" sqref="G3:G12" xr:uid="{81C927FA-14EB-E349-B65F-5B63213B83EA}">
      <formula1>"Not Started,In Progress,Prepared,Approved,Paid,Reviewed"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FAB81B1A-A981-1E4E-BCBA-CB15C7A6EA19}">
          <x14:formula1>
            <xm:f>'Assumptions - EMPLOYEE'!$A$2:$A$23</xm:f>
          </x14:formula1>
          <xm:sqref>E3:F12</xm:sqref>
        </x14:dataValidation>
        <x14:dataValidation type="list" allowBlank="1" xr:uid="{E90E1339-07FA-374C-93B1-78AD8391BF99}">
          <x14:formula1>
            <xm:f>'Assumptions - PAY_MTH'!$A$2:$A$13</xm:f>
          </x14:formula1>
          <xm:sqref>D3:D12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C965-48A9-2446-8EB4-166D31CE5DA5}">
  <dimension ref="B2:K5"/>
  <sheetViews>
    <sheetView showGridLines="0" workbookViewId="0">
      <selection activeCell="F16" sqref="F16"/>
    </sheetView>
  </sheetViews>
  <sheetFormatPr baseColWidth="10" defaultRowHeight="16" x14ac:dyDescent="0.2"/>
  <cols>
    <col min="1" max="1" width="4.6640625" customWidth="1"/>
    <col min="2" max="2" width="10.83203125" customWidth="1"/>
    <col min="3" max="3" width="8.6640625" customWidth="1"/>
    <col min="4" max="4" width="14.1640625" bestFit="1" customWidth="1"/>
    <col min="5" max="5" width="18.6640625" customWidth="1"/>
    <col min="6" max="6" width="18.83203125" customWidth="1"/>
    <col min="7" max="7" width="21.5" customWidth="1"/>
    <col min="8" max="8" width="34" customWidth="1"/>
  </cols>
  <sheetData>
    <row r="2" spans="2:11" s="2" customFormat="1" ht="42" customHeight="1" thickBot="1" x14ac:dyDescent="0.25">
      <c r="B2" s="14" t="s">
        <v>0</v>
      </c>
      <c r="C2" s="14" t="s">
        <v>20</v>
      </c>
      <c r="D2" s="14" t="s">
        <v>21</v>
      </c>
      <c r="E2" s="48" t="s">
        <v>24</v>
      </c>
      <c r="F2" s="14" t="s">
        <v>4</v>
      </c>
      <c r="G2" s="14" t="s">
        <v>22</v>
      </c>
      <c r="H2" s="14" t="s">
        <v>5</v>
      </c>
      <c r="K2" s="3"/>
    </row>
    <row r="3" spans="2:11" ht="17" x14ac:dyDescent="0.2">
      <c r="B3" t="s">
        <v>7</v>
      </c>
      <c r="C3" s="1" t="s">
        <v>81</v>
      </c>
      <c r="D3" s="4">
        <v>1296863.98</v>
      </c>
      <c r="E3" s="17" t="s">
        <v>23</v>
      </c>
      <c r="F3" s="13" t="s">
        <v>67</v>
      </c>
      <c r="G3" s="13" t="s">
        <v>55</v>
      </c>
      <c r="H3" t="s">
        <v>33</v>
      </c>
    </row>
    <row r="4" spans="2:11" ht="17" x14ac:dyDescent="0.2">
      <c r="B4" t="s">
        <v>7</v>
      </c>
      <c r="C4" s="1" t="s">
        <v>80</v>
      </c>
      <c r="D4" s="4">
        <v>1998447</v>
      </c>
      <c r="E4" s="18" t="s">
        <v>23</v>
      </c>
      <c r="F4" s="16" t="s">
        <v>67</v>
      </c>
      <c r="G4" s="16" t="s">
        <v>55</v>
      </c>
      <c r="H4" s="15" t="s">
        <v>33</v>
      </c>
    </row>
    <row r="5" spans="2:11" ht="17" x14ac:dyDescent="0.2">
      <c r="B5" t="s">
        <v>7</v>
      </c>
      <c r="C5" s="1" t="s">
        <v>82</v>
      </c>
      <c r="D5" s="4">
        <v>1725437</v>
      </c>
      <c r="E5" s="17" t="s">
        <v>23</v>
      </c>
      <c r="F5" s="13" t="s">
        <v>67</v>
      </c>
      <c r="G5" s="13" t="s">
        <v>55</v>
      </c>
      <c r="H5" t="s">
        <v>25</v>
      </c>
    </row>
  </sheetData>
  <dataValidations count="2">
    <dataValidation type="list" allowBlank="1" showInputMessage="1" showErrorMessage="1" sqref="E3:E5" xr:uid="{ED36ADA3-8C18-994B-BC32-F59F1A33AEE3}">
      <formula1>"Yes,No"</formula1>
    </dataValidation>
    <dataValidation type="list" allowBlank="1" showInputMessage="1" showErrorMessage="1" sqref="H3:H18" xr:uid="{A8A90AA1-3642-814A-878A-B396A699BD9B}">
      <formula1>"Work in progress,Complete"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20F096C4-2E86-5247-BFFB-138343E59308}">
          <x14:formula1>
            <xm:f>'Assumptions - EMPLOYEE'!$A$2:$A$23</xm:f>
          </x14:formula1>
          <xm:sqref>F3:G5</xm:sqref>
        </x14:dataValidation>
        <x14:dataValidation type="list" allowBlank="1" xr:uid="{3C14C678-A470-6B40-B2EA-3A591FC82EFC}">
          <x14:formula1>
            <xm:f>'Assumptions - PAY_MTH'!$A$2:$A$13</xm:f>
          </x14:formula1>
          <xm:sqref>C3:C5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F504-D0FE-4C46-9DE0-0A534BA11F3A}">
  <sheetPr>
    <tabColor theme="9" tint="-0.249977111117893"/>
  </sheetPr>
  <dimension ref="A1:A13"/>
  <sheetViews>
    <sheetView showGridLines="0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20</v>
      </c>
    </row>
    <row r="2" spans="1:1" x14ac:dyDescent="0.2">
      <c r="A2" t="s">
        <v>81</v>
      </c>
    </row>
    <row r="3" spans="1:1" x14ac:dyDescent="0.2">
      <c r="A3" t="s">
        <v>80</v>
      </c>
    </row>
    <row r="4" spans="1:1" x14ac:dyDescent="0.2">
      <c r="A4" t="s">
        <v>82</v>
      </c>
    </row>
    <row r="5" spans="1:1" x14ac:dyDescent="0.2">
      <c r="A5" t="s">
        <v>83</v>
      </c>
    </row>
    <row r="6" spans="1:1" x14ac:dyDescent="0.2">
      <c r="A6" t="s">
        <v>84</v>
      </c>
    </row>
    <row r="7" spans="1:1" x14ac:dyDescent="0.2">
      <c r="A7" t="s">
        <v>85</v>
      </c>
    </row>
    <row r="8" spans="1:1" x14ac:dyDescent="0.2">
      <c r="A8" t="s">
        <v>86</v>
      </c>
    </row>
    <row r="9" spans="1:1" x14ac:dyDescent="0.2">
      <c r="A9" t="s">
        <v>87</v>
      </c>
    </row>
    <row r="10" spans="1:1" x14ac:dyDescent="0.2">
      <c r="A10" t="s">
        <v>88</v>
      </c>
    </row>
    <row r="11" spans="1:1" x14ac:dyDescent="0.2">
      <c r="A11" t="s">
        <v>89</v>
      </c>
    </row>
    <row r="12" spans="1:1" x14ac:dyDescent="0.2">
      <c r="A12" t="s">
        <v>90</v>
      </c>
    </row>
    <row r="13" spans="1:1" x14ac:dyDescent="0.2">
      <c r="A13" t="s">
        <v>91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E461-AB51-7145-AC58-DC1DC0862F5C}">
  <sheetPr>
    <tabColor theme="8" tint="0.59999389629810485"/>
  </sheetPr>
  <dimension ref="A1:B23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26.6640625" style="5" customWidth="1"/>
    <col min="2" max="2" width="29" style="5" bestFit="1" customWidth="1"/>
    <col min="3" max="5" width="8.83203125" style="5"/>
    <col min="6" max="6" width="9.33203125" style="5" bestFit="1" customWidth="1"/>
    <col min="7" max="16384" width="8.83203125" style="5"/>
  </cols>
  <sheetData>
    <row r="1" spans="1:2" x14ac:dyDescent="0.2">
      <c r="A1" s="7" t="s">
        <v>79</v>
      </c>
      <c r="B1" s="7" t="s">
        <v>78</v>
      </c>
    </row>
    <row r="2" spans="1:2" x14ac:dyDescent="0.2">
      <c r="A2" s="5" t="s">
        <v>77</v>
      </c>
      <c r="B2" s="12" t="s">
        <v>76</v>
      </c>
    </row>
    <row r="3" spans="1:2" x14ac:dyDescent="0.2">
      <c r="A3" s="5" t="s">
        <v>75</v>
      </c>
      <c r="B3" s="12" t="s">
        <v>74</v>
      </c>
    </row>
    <row r="4" spans="1:2" x14ac:dyDescent="0.2">
      <c r="A4" s="5" t="s">
        <v>73</v>
      </c>
      <c r="B4" s="12" t="s">
        <v>72</v>
      </c>
    </row>
    <row r="5" spans="1:2" x14ac:dyDescent="0.2">
      <c r="A5" s="5" t="s">
        <v>71</v>
      </c>
      <c r="B5" s="12" t="s">
        <v>70</v>
      </c>
    </row>
    <row r="6" spans="1:2" x14ac:dyDescent="0.2">
      <c r="A6" s="5" t="s">
        <v>69</v>
      </c>
      <c r="B6" s="12" t="s">
        <v>68</v>
      </c>
    </row>
    <row r="7" spans="1:2" x14ac:dyDescent="0.2">
      <c r="A7" s="5" t="s">
        <v>67</v>
      </c>
      <c r="B7" s="12" t="s">
        <v>66</v>
      </c>
    </row>
    <row r="8" spans="1:2" x14ac:dyDescent="0.2">
      <c r="A8" s="5" t="s">
        <v>65</v>
      </c>
      <c r="B8" s="12" t="s">
        <v>64</v>
      </c>
    </row>
    <row r="9" spans="1:2" x14ac:dyDescent="0.2">
      <c r="A9" s="5" t="s">
        <v>63</v>
      </c>
      <c r="B9" s="12" t="s">
        <v>62</v>
      </c>
    </row>
    <row r="10" spans="1:2" x14ac:dyDescent="0.2">
      <c r="A10" s="5" t="s">
        <v>61</v>
      </c>
      <c r="B10" s="12" t="s">
        <v>60</v>
      </c>
    </row>
    <row r="11" spans="1:2" x14ac:dyDescent="0.2">
      <c r="A11" s="5" t="s">
        <v>59</v>
      </c>
      <c r="B11" s="12" t="s">
        <v>58</v>
      </c>
    </row>
    <row r="12" spans="1:2" x14ac:dyDescent="0.2">
      <c r="A12" s="5" t="s">
        <v>57</v>
      </c>
      <c r="B12" s="12" t="s">
        <v>56</v>
      </c>
    </row>
    <row r="13" spans="1:2" x14ac:dyDescent="0.2">
      <c r="A13" s="5" t="s">
        <v>55</v>
      </c>
      <c r="B13" s="12" t="s">
        <v>54</v>
      </c>
    </row>
    <row r="14" spans="1:2" x14ac:dyDescent="0.2">
      <c r="A14" s="5" t="s">
        <v>53</v>
      </c>
      <c r="B14" s="12" t="s">
        <v>52</v>
      </c>
    </row>
    <row r="15" spans="1:2" x14ac:dyDescent="0.2">
      <c r="A15" s="5" t="s">
        <v>51</v>
      </c>
      <c r="B15" s="12" t="s">
        <v>50</v>
      </c>
    </row>
    <row r="16" spans="1:2" x14ac:dyDescent="0.2">
      <c r="A16" s="5" t="s">
        <v>49</v>
      </c>
      <c r="B16" s="12" t="s">
        <v>48</v>
      </c>
    </row>
    <row r="17" spans="1:2" x14ac:dyDescent="0.2">
      <c r="A17" s="5" t="s">
        <v>47</v>
      </c>
      <c r="B17" s="12" t="s">
        <v>46</v>
      </c>
    </row>
    <row r="18" spans="1:2" x14ac:dyDescent="0.2">
      <c r="A18" s="5" t="s">
        <v>45</v>
      </c>
      <c r="B18" s="12" t="s">
        <v>44</v>
      </c>
    </row>
    <row r="19" spans="1:2" x14ac:dyDescent="0.2">
      <c r="A19" s="5" t="s">
        <v>43</v>
      </c>
      <c r="B19" s="12" t="s">
        <v>42</v>
      </c>
    </row>
    <row r="20" spans="1:2" x14ac:dyDescent="0.2">
      <c r="A20" s="5" t="s">
        <v>41</v>
      </c>
      <c r="B20" s="12" t="s">
        <v>40</v>
      </c>
    </row>
    <row r="21" spans="1:2" x14ac:dyDescent="0.2">
      <c r="A21" s="5" t="s">
        <v>39</v>
      </c>
      <c r="B21" s="12" t="s">
        <v>38</v>
      </c>
    </row>
    <row r="22" spans="1:2" x14ac:dyDescent="0.2">
      <c r="A22" s="5" t="s">
        <v>37</v>
      </c>
      <c r="B22" s="12" t="s">
        <v>36</v>
      </c>
    </row>
    <row r="23" spans="1:2" x14ac:dyDescent="0.2">
      <c r="A23" s="5" t="s">
        <v>35</v>
      </c>
      <c r="B23" s="12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F315-42E3-C047-92D3-FF1D2A804AE8}">
  <sheetPr>
    <tabColor theme="7" tint="0.39997558519241921"/>
  </sheetPr>
  <dimension ref="A1:E16"/>
  <sheetViews>
    <sheetView showGridLines="0" workbookViewId="0">
      <selection activeCell="B15" sqref="B15"/>
    </sheetView>
  </sheetViews>
  <sheetFormatPr baseColWidth="10" defaultColWidth="8.83203125" defaultRowHeight="15" x14ac:dyDescent="0.2"/>
  <cols>
    <col min="1" max="1" width="13.5" style="5" bestFit="1" customWidth="1"/>
    <col min="2" max="2" width="29.33203125" style="5" bestFit="1" customWidth="1"/>
    <col min="3" max="3" width="59" style="5" bestFit="1" customWidth="1"/>
    <col min="4" max="4" width="42.1640625" style="5" bestFit="1" customWidth="1"/>
    <col min="5" max="5" width="28.83203125" style="5" bestFit="1" customWidth="1"/>
    <col min="6" max="16384" width="8.83203125" style="5"/>
  </cols>
  <sheetData>
    <row r="1" spans="1:5" ht="16" x14ac:dyDescent="0.2">
      <c r="A1" s="47" t="s">
        <v>5</v>
      </c>
      <c r="B1" s="47" t="s">
        <v>108</v>
      </c>
      <c r="C1" s="47" t="s">
        <v>109</v>
      </c>
      <c r="D1" s="47" t="s">
        <v>110</v>
      </c>
      <c r="E1" s="47" t="s">
        <v>111</v>
      </c>
    </row>
    <row r="2" spans="1:5" ht="16" x14ac:dyDescent="0.2">
      <c r="A2" t="s">
        <v>9</v>
      </c>
      <c r="B2" t="s">
        <v>114</v>
      </c>
      <c r="C2" t="s">
        <v>115</v>
      </c>
      <c r="D2" t="s">
        <v>116</v>
      </c>
      <c r="E2" t="s">
        <v>112</v>
      </c>
    </row>
    <row r="3" spans="1:5" ht="16" x14ac:dyDescent="0.2">
      <c r="A3" t="s">
        <v>113</v>
      </c>
      <c r="B3" t="s">
        <v>117</v>
      </c>
      <c r="C3" t="s">
        <v>118</v>
      </c>
      <c r="D3" t="s">
        <v>119</v>
      </c>
      <c r="E3" t="s">
        <v>120</v>
      </c>
    </row>
    <row r="4" spans="1:5" ht="16" x14ac:dyDescent="0.2">
      <c r="A4" t="s">
        <v>121</v>
      </c>
      <c r="B4" t="s">
        <v>122</v>
      </c>
      <c r="C4" t="s">
        <v>123</v>
      </c>
      <c r="D4" t="s">
        <v>124</v>
      </c>
      <c r="E4" t="s">
        <v>125</v>
      </c>
    </row>
    <row r="5" spans="1:5" ht="16" x14ac:dyDescent="0.2">
      <c r="A5" t="s">
        <v>126</v>
      </c>
      <c r="B5" t="s">
        <v>127</v>
      </c>
      <c r="C5" t="s">
        <v>128</v>
      </c>
      <c r="D5" t="s">
        <v>129</v>
      </c>
      <c r="E5" t="s">
        <v>130</v>
      </c>
    </row>
    <row r="6" spans="1:5" ht="16" x14ac:dyDescent="0.2">
      <c r="A6" t="s">
        <v>131</v>
      </c>
      <c r="B6" t="s">
        <v>132</v>
      </c>
      <c r="C6" t="s">
        <v>133</v>
      </c>
      <c r="D6" t="s">
        <v>134</v>
      </c>
      <c r="E6" t="s">
        <v>135</v>
      </c>
    </row>
    <row r="7" spans="1:5" ht="16" x14ac:dyDescent="0.2">
      <c r="A7" t="s">
        <v>136</v>
      </c>
      <c r="B7" t="s">
        <v>137</v>
      </c>
      <c r="C7" t="s">
        <v>138</v>
      </c>
      <c r="D7" t="s">
        <v>139</v>
      </c>
      <c r="E7" t="s">
        <v>140</v>
      </c>
    </row>
    <row r="12" spans="1:5" ht="16" x14ac:dyDescent="0.2">
      <c r="A12" s="47"/>
      <c r="B12" s="47"/>
      <c r="C12" s="47"/>
      <c r="D12" s="47"/>
    </row>
    <row r="13" spans="1:5" ht="16" x14ac:dyDescent="0.2">
      <c r="A13" s="47"/>
      <c r="B13"/>
      <c r="C13"/>
      <c r="D13"/>
    </row>
    <row r="14" spans="1:5" ht="16" x14ac:dyDescent="0.2">
      <c r="A14" s="47"/>
      <c r="B14"/>
      <c r="C14"/>
      <c r="D14"/>
    </row>
    <row r="15" spans="1:5" ht="16" x14ac:dyDescent="0.2">
      <c r="A15" s="47"/>
      <c r="B15"/>
      <c r="C15"/>
      <c r="D15"/>
    </row>
    <row r="16" spans="1:5" ht="16" x14ac:dyDescent="0.2">
      <c r="A16" s="47"/>
      <c r="B16"/>
      <c r="C16"/>
      <c r="D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Checklist</vt:lpstr>
      <vt:lpstr>MoM matrix</vt:lpstr>
      <vt:lpstr>Assumptions - PAY_MTH</vt:lpstr>
      <vt:lpstr>Assumptions - EMPLOYEE</vt:lpstr>
      <vt:lpstr>Assumptions -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Slabbert</dc:creator>
  <cp:lastModifiedBy>Armand Slabbert</cp:lastModifiedBy>
  <dcterms:created xsi:type="dcterms:W3CDTF">2026-02-07T16:15:06Z</dcterms:created>
  <dcterms:modified xsi:type="dcterms:W3CDTF">2026-02-11T18:29:19Z</dcterms:modified>
</cp:coreProperties>
</file>